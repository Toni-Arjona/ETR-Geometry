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Escritorio\ETECH\GitHub\ETR-Geometry\functions rodri\"/>
    </mc:Choice>
  </mc:AlternateContent>
  <xr:revisionPtr revIDLastSave="0" documentId="13_ncr:1_{DE6ED5FE-76EB-4CFB-BD62-4DD6E0C22835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9" i="1"/>
</calcChain>
</file>

<file path=xl/sharedStrings.xml><?xml version="1.0" encoding="utf-8"?>
<sst xmlns="http://schemas.openxmlformats.org/spreadsheetml/2006/main" count="14" uniqueCount="14">
  <si>
    <t>Fz [N]</t>
  </si>
  <si>
    <t>Slip angle óptimo [deg]</t>
  </si>
  <si>
    <t>Camber óptimo [deg]</t>
  </si>
  <si>
    <t>Effective rolling radius [m]</t>
  </si>
  <si>
    <t>Pneumatic trail [m]</t>
  </si>
  <si>
    <t>Mz [Nm]</t>
  </si>
  <si>
    <t>CoP y dist [m]</t>
  </si>
  <si>
    <t>upper kunckle</t>
  </si>
  <si>
    <t>lower knuckle</t>
  </si>
  <si>
    <t>x</t>
  </si>
  <si>
    <t>y</t>
  </si>
  <si>
    <t>z</t>
  </si>
  <si>
    <t>KPI</t>
  </si>
  <si>
    <t>CASTER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</si>
</sst>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C20" sqref="C20"/>
    </sheetView>
  </sheetViews>
  <sheetFormatPr baseColWidth="10" defaultColWidth="8.7265625" defaultRowHeight="14.5" x14ac:dyDescent="0.35"/>
  <cols>
    <col min="1" max="1" width="12.54296875" bestFit="1" customWidth="1"/>
    <col min="2" max="2" width="19.90625" customWidth="1"/>
    <col min="3" max="3" width="18.6328125" customWidth="1"/>
    <col min="4" max="4" width="22.6328125" customWidth="1"/>
    <col min="5" max="5" width="16.7265625" customWidth="1"/>
    <col min="6" max="6" width="13.08984375" customWidth="1"/>
    <col min="7" max="7" width="12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</v>
      </c>
      <c r="B2">
        <v>-4.21</v>
      </c>
      <c r="C2">
        <v>-0.5299999999999998</v>
      </c>
      <c r="D2">
        <v>0.20238531086933173</v>
      </c>
      <c r="E2">
        <v>2.9415199508967646E-3</v>
      </c>
      <c r="F2">
        <v>-0.66537072619443371</v>
      </c>
      <c r="G2">
        <v>0</v>
      </c>
    </row>
    <row r="3" spans="1:7" x14ac:dyDescent="0.35">
      <c r="A3">
        <v>200</v>
      </c>
      <c r="B3">
        <v>-4.2699999999999996</v>
      </c>
      <c r="C3">
        <v>-0.60999999999999988</v>
      </c>
      <c r="D3">
        <v>0.20197536358625839</v>
      </c>
      <c r="E3">
        <v>5.0462258650557888E-3</v>
      </c>
      <c r="F3">
        <v>-1.7826201647584889</v>
      </c>
      <c r="G3">
        <v>0</v>
      </c>
    </row>
    <row r="4" spans="1:7" x14ac:dyDescent="0.35">
      <c r="A4">
        <v>300</v>
      </c>
      <c r="B4">
        <v>-4.37</v>
      </c>
      <c r="C4">
        <v>-0.69</v>
      </c>
      <c r="D4">
        <v>0.20177379375148582</v>
      </c>
      <c r="E4">
        <v>6.3086856769411156E-3</v>
      </c>
      <c r="F4">
        <v>-2.9562008947751526</v>
      </c>
      <c r="G4">
        <v>0</v>
      </c>
    </row>
    <row r="5" spans="1:7" x14ac:dyDescent="0.35">
      <c r="A5">
        <v>400</v>
      </c>
      <c r="B5">
        <v>-4.51</v>
      </c>
      <c r="C5">
        <v>-0.77</v>
      </c>
      <c r="D5">
        <v>0.20165850624989609</v>
      </c>
      <c r="E5">
        <v>7.0082312954022705E-3</v>
      </c>
      <c r="F5">
        <v>-3.9720609544061389</v>
      </c>
      <c r="G5">
        <v>0</v>
      </c>
    </row>
    <row r="6" spans="1:7" x14ac:dyDescent="0.35">
      <c r="A6">
        <v>500</v>
      </c>
      <c r="B6">
        <v>-4.7</v>
      </c>
      <c r="C6">
        <v>-0.85000000000000009</v>
      </c>
      <c r="D6">
        <v>0.20158401880359836</v>
      </c>
      <c r="E6">
        <v>7.341032424572601E-3</v>
      </c>
      <c r="F6">
        <v>-4.7334328276540285</v>
      </c>
      <c r="G6">
        <v>0</v>
      </c>
    </row>
    <row r="7" spans="1:7" x14ac:dyDescent="0.35">
      <c r="A7">
        <v>600</v>
      </c>
      <c r="B7">
        <v>-4.93</v>
      </c>
      <c r="C7">
        <v>-0.93000000000000016</v>
      </c>
      <c r="D7">
        <v>0.20153151887487383</v>
      </c>
      <c r="E7">
        <v>7.430155424667924E-3</v>
      </c>
      <c r="F7">
        <v>-5.2091256950046585</v>
      </c>
      <c r="G7">
        <v>0</v>
      </c>
    </row>
    <row r="8" spans="1:7" x14ac:dyDescent="0.35">
      <c r="A8">
        <v>700</v>
      </c>
      <c r="B8">
        <v>-5.21</v>
      </c>
      <c r="C8">
        <v>-1.01</v>
      </c>
      <c r="D8">
        <v>0.20149209503513016</v>
      </c>
      <c r="E8">
        <v>7.3290168022024944E-3</v>
      </c>
      <c r="F8">
        <v>-5.3839616672692223</v>
      </c>
      <c r="G8">
        <v>0</v>
      </c>
    </row>
    <row r="9" spans="1:7" x14ac:dyDescent="0.35">
      <c r="A9">
        <v>800</v>
      </c>
      <c r="B9">
        <v>-5.54</v>
      </c>
      <c r="C9">
        <v>-1.0999999999999999</v>
      </c>
      <c r="D9">
        <v>0.20146104049815486</v>
      </c>
      <c r="E9">
        <v>7.088182923926648E-3</v>
      </c>
      <c r="F9">
        <v>-5.2522137362777013</v>
      </c>
      <c r="G9">
        <v>0</v>
      </c>
    </row>
    <row r="10" spans="1:7" x14ac:dyDescent="0.35">
      <c r="A10">
        <v>900</v>
      </c>
      <c r="B10">
        <v>-5.92</v>
      </c>
      <c r="C10">
        <v>-1.19</v>
      </c>
      <c r="D10">
        <v>0.20143565163623514</v>
      </c>
      <c r="E10">
        <v>6.7944460688784403E-3</v>
      </c>
      <c r="F10">
        <v>-4.9717441751418772</v>
      </c>
      <c r="G10">
        <v>0</v>
      </c>
    </row>
    <row r="11" spans="1:7" x14ac:dyDescent="0.35">
      <c r="A11">
        <v>1000</v>
      </c>
      <c r="B11">
        <v>-6.34</v>
      </c>
      <c r="C11">
        <v>-1.27</v>
      </c>
      <c r="D11">
        <v>0.20141427040130222</v>
      </c>
      <c r="E11">
        <v>6.5670153328855315E-3</v>
      </c>
      <c r="F11">
        <v>-4.8042813504661428</v>
      </c>
      <c r="G11">
        <v>0</v>
      </c>
    </row>
    <row r="12" spans="1:7" x14ac:dyDescent="0.35">
      <c r="A12">
        <v>1100</v>
      </c>
      <c r="B12">
        <v>-6.82</v>
      </c>
      <c r="C12">
        <v>-1.3499999999999999</v>
      </c>
      <c r="D12">
        <v>0.2013958255857547</v>
      </c>
      <c r="E12">
        <v>6.4539611043165678E-3</v>
      </c>
      <c r="F12">
        <v>-4.8739073427581445</v>
      </c>
      <c r="G12">
        <v>0</v>
      </c>
    </row>
    <row r="13" spans="1:7" x14ac:dyDescent="0.35">
      <c r="A13">
        <v>1200</v>
      </c>
      <c r="B13">
        <v>-7.37</v>
      </c>
      <c r="C13">
        <v>-1.44</v>
      </c>
      <c r="D13">
        <v>0.20137959521639456</v>
      </c>
      <c r="E13">
        <v>6.5438398851019935E-3</v>
      </c>
      <c r="F13">
        <v>-5.3874306959475406</v>
      </c>
      <c r="G13">
        <v>0</v>
      </c>
    </row>
    <row r="14" spans="1:7" x14ac:dyDescent="0.35">
      <c r="A14">
        <v>1300</v>
      </c>
      <c r="B14">
        <v>-7.97</v>
      </c>
      <c r="C14">
        <v>-1.53</v>
      </c>
      <c r="D14">
        <v>0.20136507538437814</v>
      </c>
      <c r="E14">
        <v>7.0036778402035177E-3</v>
      </c>
      <c r="F14">
        <v>-6.7958421493900323</v>
      </c>
      <c r="G14">
        <v>0</v>
      </c>
    </row>
    <row r="15" spans="1:7" x14ac:dyDescent="0.35">
      <c r="A15">
        <v>1400</v>
      </c>
      <c r="B15">
        <v>-8.65</v>
      </c>
      <c r="C15">
        <v>-1.6199999999999999</v>
      </c>
      <c r="D15">
        <v>0.20135190390700752</v>
      </c>
      <c r="E15">
        <v>7.9132053930476808E-3</v>
      </c>
      <c r="F15">
        <v>-9.4231461297533698</v>
      </c>
      <c r="G15">
        <v>0</v>
      </c>
    </row>
    <row r="16" spans="1:7" x14ac:dyDescent="0.35">
      <c r="A16">
        <v>1500</v>
      </c>
      <c r="B16">
        <v>-9.4</v>
      </c>
      <c r="C16">
        <v>-1.71</v>
      </c>
      <c r="D16">
        <v>0.20133981388611225</v>
      </c>
      <c r="E16">
        <v>9.4166636008245451E-3</v>
      </c>
      <c r="F16">
        <v>-13.752191077678763</v>
      </c>
      <c r="G16">
        <v>0</v>
      </c>
    </row>
    <row r="18" spans="1:7" x14ac:dyDescent="0.35">
      <c r="B18" t="s">
        <v>9</v>
      </c>
      <c r="C18" t="s">
        <v>10</v>
      </c>
      <c r="D18" t="s">
        <v>11</v>
      </c>
      <c r="F18" t="s">
        <v>12</v>
      </c>
      <c r="G18" t="s">
        <v>13</v>
      </c>
    </row>
    <row r="19" spans="1:7" x14ac:dyDescent="0.35">
      <c r="A19" t="s">
        <v>7</v>
      </c>
      <c r="B19">
        <v>-89</v>
      </c>
      <c r="C19">
        <v>-500</v>
      </c>
      <c r="D19">
        <v>294</v>
      </c>
      <c r="F19">
        <f>DEGREES(ATAN((C19-C20)/(D19-D20)))</f>
        <v>19.832129850218386</v>
      </c>
      <c r="G19">
        <f>DEGREES(ATAN((B19-B20)/(D19-D20)))</f>
        <v>3.4398696937460249</v>
      </c>
    </row>
    <row r="20" spans="1:7" x14ac:dyDescent="0.35">
      <c r="A20" t="s">
        <v>8</v>
      </c>
      <c r="B20">
        <v>-100</v>
      </c>
      <c r="C20">
        <v>-566</v>
      </c>
      <c r="D20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Poblet García</cp:lastModifiedBy>
  <dcterms:modified xsi:type="dcterms:W3CDTF">2026-02-09T00:34:37Z</dcterms:modified>
</cp:coreProperties>
</file>